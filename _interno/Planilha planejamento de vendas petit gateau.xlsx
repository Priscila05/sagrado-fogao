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davi_20260059_institutojef_org_br/Documents/"/>
    </mc:Choice>
  </mc:AlternateContent>
  <xr:revisionPtr revIDLastSave="329" documentId="8_{9E0E91FB-DA22-445A-BC76-25F013FBA658}" xr6:coauthVersionLast="47" xr6:coauthVersionMax="47" xr10:uidLastSave="{B3957B03-C43B-4D34-94B8-91F1D6593DFC}"/>
  <bookViews>
    <workbookView xWindow="-108" yWindow="-108" windowWidth="23256" windowHeight="12456" xr2:uid="{402A5A30-17F1-48FE-A124-A57D9025CDA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D5" i="1"/>
  <c r="E5" i="1"/>
  <c r="F5" i="1"/>
  <c r="G5" i="1" s="1"/>
  <c r="H5" i="1" s="1"/>
  <c r="I5" i="1" s="1"/>
  <c r="J5" i="1" s="1"/>
  <c r="K5" i="1" s="1"/>
  <c r="L5" i="1" s="1"/>
  <c r="M5" i="1" s="1"/>
  <c r="C5" i="1"/>
  <c r="C4" i="1"/>
  <c r="D4" i="1" s="1"/>
  <c r="E4" i="1" s="1"/>
  <c r="F4" i="1" s="1"/>
  <c r="G4" i="1" s="1"/>
  <c r="H4" i="1" s="1"/>
  <c r="I4" i="1" s="1"/>
  <c r="J4" i="1" s="1"/>
  <c r="K4" i="1" s="1"/>
  <c r="L4" i="1" s="1"/>
  <c r="M4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D2" i="1"/>
  <c r="E2" i="1" s="1"/>
  <c r="F2" i="1" s="1"/>
  <c r="G2" i="1" s="1"/>
  <c r="H2" i="1" s="1"/>
  <c r="I2" i="1" s="1"/>
  <c r="J2" i="1" s="1"/>
  <c r="K2" i="1" s="1"/>
  <c r="L2" i="1" s="1"/>
  <c r="M2" i="1" s="1"/>
  <c r="C2" i="1"/>
</calcChain>
</file>

<file path=xl/sharedStrings.xml><?xml version="1.0" encoding="utf-8"?>
<sst xmlns="http://schemas.openxmlformats.org/spreadsheetml/2006/main" count="32" uniqueCount="31">
  <si>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</si>
  <si>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</si>
  <si>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</si>
  <si>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</si>
  <si>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</si>
  <si>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</si>
  <si>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</si>
  <si>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</si>
  <si>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>Setembro</t>
  </si>
  <si>
    <t>Outubro</t>
  </si>
  <si>
    <t>Novembro</t>
  </si>
  <si>
    <t>Dezembro</t>
  </si>
  <si>
    <t>Escritório da Âmbar</t>
  </si>
  <si>
    <t>Escritório da Friboi</t>
  </si>
  <si>
    <t>Escritório da Seara</t>
  </si>
  <si>
    <t>Escritório da Swift</t>
  </si>
  <si>
    <t>Lugares da Venda</t>
  </si>
  <si>
    <t>,</t>
  </si>
  <si>
    <r>
      <t xml:space="preserve">A </t>
    </r>
    <r>
      <rPr>
        <b/>
        <sz val="11"/>
        <color theme="1"/>
        <rFont val="Aptos Narrow"/>
        <family val="2"/>
        <scheme val="minor"/>
      </rPr>
      <t>Seara</t>
    </r>
    <r>
      <rPr>
        <sz val="11"/>
        <color theme="1"/>
        <rFont val="Aptos Narrow"/>
        <family val="2"/>
        <scheme val="minor"/>
      </rPr>
      <t xml:space="preserve"> vende mais por ter uma operação muito grande. 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</si>
  <si>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Friboi</t>
    </r>
    <r>
      <rPr>
        <sz val="11"/>
        <color theme="1"/>
        <rFont val="Aptos Narrow"/>
        <family val="2"/>
        <scheme val="minor"/>
      </rPr>
      <t xml:space="preserve"> vem em segundo lugar. 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</si>
  <si>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Swift</t>
    </r>
    <r>
      <rPr>
        <sz val="11"/>
        <color theme="1"/>
        <rFont val="Aptos Narrow"/>
        <family val="2"/>
        <scheme val="minor"/>
      </rPr>
      <t xml:space="preserve"> tem menor volume.</t>
    </r>
  </si>
  <si>
    <t>.</t>
  </si>
  <si>
    <t>Nós calculamos a 10% de vendas com "=(célula)+(célula)*10" fazemos isso na cédula do próximo mês, exemplo: "quero aumentar 10% da D2 para a E2, fazemos esse cálculo, na célula E2, assim, sai o resultado</t>
  </si>
  <si>
    <t>1. Qual empresa possui a maior previsão de vendas em junho?</t>
  </si>
  <si>
    <t>2. Quantos bolinhos a JBS deverá vender em agosto?</t>
  </si>
  <si>
    <t>3. Qual o total previsto de vendas da Swift nos três meses?</t>
  </si>
  <si>
    <t xml:space="preserve"> </t>
  </si>
  <si>
    <t>R: A empresa que possui a maior previsão de venvas em junho é a Seara</t>
  </si>
  <si>
    <t xml:space="preserve">R: O total previsto foi 242 vendas </t>
  </si>
  <si>
    <t xml:space="preserve">   R: 1267</t>
  </si>
  <si>
    <t>4. Qual empresa apresentou o maior volume de vendas no último trimestre?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</si>
</sst>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Planejamento</a:t>
            </a:r>
            <a:r>
              <a:rPr lang="pt-BR" baseline="0"/>
              <a:t> de Vendas Petit Gateau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699819945714976E-2"/>
          <c:y val="0.16353615520282189"/>
          <c:w val="0.9373590246611665"/>
          <c:h val="0.63367113832993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Planilha1!$A$2</c:f>
              <c:strCache>
                <c:ptCount val="1"/>
                <c:pt idx="0">
                  <c:v>Escritório da Âmbar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Planilha1!$B$2:$M$2</c:f>
              <c:numCache>
                <c:formatCode>General</c:formatCode>
                <c:ptCount val="12"/>
                <c:pt idx="0">
                  <c:v>120</c:v>
                </c:pt>
                <c:pt idx="1">
                  <c:v>132</c:v>
                </c:pt>
                <c:pt idx="2" formatCode="0">
                  <c:v>145.19999999999999</c:v>
                </c:pt>
                <c:pt idx="3" formatCode="0">
                  <c:v>159.72</c:v>
                </c:pt>
                <c:pt idx="4" formatCode="0">
                  <c:v>175.69200000000001</c:v>
                </c:pt>
                <c:pt idx="5" formatCode="0">
                  <c:v>193.2612</c:v>
                </c:pt>
                <c:pt idx="6" formatCode="0">
                  <c:v>212.58732000000001</c:v>
                </c:pt>
                <c:pt idx="7" formatCode="0">
                  <c:v>233.84605200000001</c:v>
                </c:pt>
                <c:pt idx="8" formatCode="0">
                  <c:v>257.2306572</c:v>
                </c:pt>
                <c:pt idx="9" formatCode="0">
                  <c:v>282.95372292000002</c:v>
                </c:pt>
                <c:pt idx="10" formatCode="0">
                  <c:v>311.24909521200004</c:v>
                </c:pt>
                <c:pt idx="11" formatCode="0">
                  <c:v>342.37400473320002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9-4CE5-B89D-6C72108D0029}"/>
            </c:ext>
          </c:extLst>
        </c:ser>
        <c:ser>
          <c:idx val="1"/>
          <c:order val="1"/>
          <c:tx>
            <c:strRef>
              <c:f>Planilha1!$A$3</c:f>
              <c:strCache>
                <c:ptCount val="1"/>
                <c:pt idx="0">
                  <c:v>Escritório da Friboi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Planilha1!$B$3:$M$3</c:f>
              <c:numCache>
                <c:formatCode>General</c:formatCode>
                <c:ptCount val="12"/>
                <c:pt idx="0">
                  <c:v>150</c:v>
                </c:pt>
                <c:pt idx="1">
                  <c:v>165</c:v>
                </c:pt>
                <c:pt idx="2" formatCode="0">
                  <c:v>181.5</c:v>
                </c:pt>
                <c:pt idx="3" formatCode="0">
                  <c:v>199.65</c:v>
                </c:pt>
                <c:pt idx="4" formatCode="0">
                  <c:v>219.61500000000001</c:v>
                </c:pt>
                <c:pt idx="5" formatCode="0">
                  <c:v>241.57650000000001</c:v>
                </c:pt>
                <c:pt idx="6" formatCode="0">
                  <c:v>265.73415</c:v>
                </c:pt>
                <c:pt idx="7" formatCode="0">
                  <c:v>292.30756500000001</c:v>
                </c:pt>
                <c:pt idx="8" formatCode="0">
                  <c:v>321.5383215</c:v>
                </c:pt>
                <c:pt idx="9" formatCode="0">
                  <c:v>353.69215365000002</c:v>
                </c:pt>
                <c:pt idx="10" formatCode="0">
                  <c:v>389.06136901500003</c:v>
                </c:pt>
                <c:pt idx="11" formatCode="0">
                  <c:v>427.96750591650004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39-4CE5-B89D-6C72108D0029}"/>
            </c:ext>
          </c:extLst>
        </c:ser>
        <c:ser>
          <c:idx val="2"/>
          <c:order val="2"/>
          <c:tx>
            <c:strRef>
              <c:f>Planilha1!$A$4</c:f>
              <c:strCache>
                <c:ptCount val="1"/>
                <c:pt idx="0">
                  <c:v>Escritório da Seara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Planilha1!$B$4:$M$4</c:f>
              <c:numCache>
                <c:formatCode>General</c:formatCode>
                <c:ptCount val="12"/>
                <c:pt idx="0">
                  <c:v>200</c:v>
                </c:pt>
                <c:pt idx="1">
                  <c:v>220</c:v>
                </c:pt>
                <c:pt idx="2" formatCode="0">
                  <c:v>242</c:v>
                </c:pt>
                <c:pt idx="3" formatCode="0">
                  <c:v>266.2</c:v>
                </c:pt>
                <c:pt idx="4" formatCode="0">
                  <c:v>292.82</c:v>
                </c:pt>
                <c:pt idx="5" formatCode="0">
                  <c:v>322.10199999999998</c:v>
                </c:pt>
                <c:pt idx="6" formatCode="0">
                  <c:v>354.31219999999996</c:v>
                </c:pt>
                <c:pt idx="7" formatCode="0">
                  <c:v>389.74341999999996</c:v>
                </c:pt>
                <c:pt idx="8" formatCode="0">
                  <c:v>428.71776199999994</c:v>
                </c:pt>
                <c:pt idx="9" formatCode="0">
                  <c:v>471.58953819999994</c:v>
                </c:pt>
                <c:pt idx="10" formatCode="0">
                  <c:v>518.74849201999996</c:v>
                </c:pt>
                <c:pt idx="11" formatCode="0">
                  <c:v>570.62334122199991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39-4CE5-B89D-6C72108D0029}"/>
            </c:ext>
          </c:extLst>
        </c:ser>
        <c:ser>
          <c:idx val="3"/>
          <c:order val="3"/>
          <c:tx>
            <c:strRef>
              <c:f>Planilha1!$A$5</c:f>
              <c:strCache>
                <c:ptCount val="1"/>
                <c:pt idx="0">
                  <c:v>Escritório da Swift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 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Planilha1!$B$5:$M$5</c:f>
              <c:numCache>
                <c:formatCode>General</c:formatCode>
                <c:ptCount val="12"/>
                <c:pt idx="0">
                  <c:v>180</c:v>
                </c:pt>
                <c:pt idx="1">
                  <c:v>198</c:v>
                </c:pt>
                <c:pt idx="2" formatCode="0">
                  <c:v>217.8</c:v>
                </c:pt>
                <c:pt idx="3" formatCode="0">
                  <c:v>239.58</c:v>
                </c:pt>
                <c:pt idx="4" formatCode="0">
                  <c:v>263.53800000000001</c:v>
                </c:pt>
                <c:pt idx="5" formatCode="0">
                  <c:v>289.89179999999999</c:v>
                </c:pt>
                <c:pt idx="6" formatCode="0">
                  <c:v>318.88097999999997</c:v>
                </c:pt>
                <c:pt idx="7" formatCode="0">
                  <c:v>350.76907799999998</c:v>
                </c:pt>
                <c:pt idx="8" formatCode="0">
                  <c:v>385.84598579999999</c:v>
                </c:pt>
                <c:pt idx="9" formatCode="0">
                  <c:v>424.43058438000003</c:v>
                </c:pt>
                <c:pt idx="10" formatCode="0">
                  <c:v>466.87364281800001</c:v>
                </c:pt>
                <c:pt idx="11" formatCode="0">
                  <c:v>513.56100709980001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39-4CE5-B89D-6C72108D0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577951"/>
        <c:axId val="725588031"/>
      </c:barChart>
      <c:catAx>
        <c:axId val="72557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5588031"/>
        <c:crosses val="autoZero"/>
        <c:auto val="1"/>
        <c:lblAlgn val="ctr"/>
        <c:lblOffset val="100"/>
        <c:noMultiLvlLbl val="0"/>
      </c:catAx>
      <c:valAx>
        <c:axId val="72558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557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8</xdr:row>
      <xdr:rowOff>160020</xdr:rowOff>
    </xdr:from>
    <xdr:to>
      <xdr:col>13</xdr:col>
      <xdr:colOff>15240</xdr:colOff>
      <xdr:row>24</xdr:row>
      <xdr:rowOff>114300</xdr:rowOff>
    </xdr:to>
    <xdr:graphicFrame macro="">
      <xdr:nvGraphicFramePr>
        <xdr:cNvPr id="55" name="Gráfico 1">
          <a:extLst>
            <a:ext uri="{FF2B5EF4-FFF2-40B4-BE49-F238E27FC236}">
              <a16:creationId xmlns:a16="http://schemas.microsoft.com/office/drawing/2014/main" id="{744FD039-2EAB-07DA-9858-B9AC6211D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388260</xdr:colOff>
      <xdr:row>26</xdr:row>
      <xdr:rowOff>114300</xdr:rowOff>
    </xdr:from>
    <xdr:to>
      <xdr:col>15</xdr:col>
      <xdr:colOff>196215</xdr:colOff>
      <xdr:row>37</xdr:row>
      <xdr:rowOff>68580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1BE7612-4247-F622-4433-61044CDB6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8200" y="5044440"/>
          <a:ext cx="2855955" cy="1965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762F7-F8F5-4B7B-9823-71EC1D1603C8}">
  <dimension ref="A1:T28"/>
  <sheetViews>
    <sheetView tabSelected="1" topLeftCell="C20" zoomScale="118" workbookViewId="0">
      <selection activeCell="J41" sqref="J41"/>
    </sheetView>
  </sheetViews>
  <sheetFormatPr defaultRowHeight="14.4" x14ac:dyDescent="0.3"/>
  <cols>
    <col min="1" max="1" width="24.6640625" customWidth="1"/>
    <col min="3" max="3" width="8.44140625" customWidth="1"/>
    <col min="10" max="10" width="8.77734375" bestFit="1" customWidth="1"/>
    <col min="17" max="17" width="88.44140625" customWidth="1"/>
  </cols>
  <sheetData>
    <row r="1" spans="1:20" ht="28.2" customHeight="1" x14ac:dyDescent="0.3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</row>
    <row r="2" spans="1:20" x14ac:dyDescent="0.3">
      <c r="A2" s="4" t="s">
        <v>12</v>
      </c>
      <c r="B2" s="4">
        <v>120</v>
      </c>
      <c r="C2" s="4">
        <f>B2+(B2*10%)</f>
        <v>132</v>
      </c>
      <c r="D2" s="5">
        <f>C2+(C2*10%)</f>
        <v>145.19999999999999</v>
      </c>
      <c r="E2" s="5">
        <f t="shared" ref="E2:L2" si="0">D2+(D2*10%)</f>
        <v>159.72</v>
      </c>
      <c r="F2" s="5">
        <f t="shared" si="0"/>
        <v>175.69200000000001</v>
      </c>
      <c r="G2" s="5">
        <f t="shared" si="0"/>
        <v>193.2612</v>
      </c>
      <c r="H2" s="5">
        <f t="shared" si="0"/>
        <v>212.58732000000001</v>
      </c>
      <c r="I2" s="5">
        <f t="shared" si="0"/>
        <v>233.84605200000001</v>
      </c>
      <c r="J2" s="5">
        <f t="shared" si="0"/>
        <v>257.2306572</v>
      </c>
      <c r="K2" s="5">
        <f t="shared" si="0"/>
        <v>282.95372292000002</v>
      </c>
      <c r="L2" s="5">
        <f t="shared" si="0"/>
        <v>311.24909521200004</v>
      </c>
      <c r="M2" s="5">
        <f>L2+(L2*10%)</f>
        <v>342.37400473320002</v>
      </c>
      <c r="N2" s="5">
        <f>SUM(B2:M2)</f>
        <v>2566.1140520652002</v>
      </c>
      <c r="O2" s="5"/>
    </row>
    <row r="3" spans="1:20" x14ac:dyDescent="0.3">
      <c r="A3" s="4" t="s">
        <v>13</v>
      </c>
      <c r="B3" s="4">
        <v>150</v>
      </c>
      <c r="C3" s="4">
        <f>B3+(B3*10%)</f>
        <v>165</v>
      </c>
      <c r="D3" s="5">
        <f t="shared" ref="D3:M3" si="1">C3+(C3*10%)</f>
        <v>181.5</v>
      </c>
      <c r="E3" s="5">
        <f t="shared" si="1"/>
        <v>199.65</v>
      </c>
      <c r="F3" s="5">
        <f t="shared" si="1"/>
        <v>219.61500000000001</v>
      </c>
      <c r="G3" s="5">
        <f t="shared" si="1"/>
        <v>241.57650000000001</v>
      </c>
      <c r="H3" s="5">
        <f t="shared" si="1"/>
        <v>265.73415</v>
      </c>
      <c r="I3" s="5">
        <f t="shared" si="1"/>
        <v>292.30756500000001</v>
      </c>
      <c r="J3" s="5">
        <f t="shared" si="1"/>
        <v>321.5383215</v>
      </c>
      <c r="K3" s="5">
        <f t="shared" si="1"/>
        <v>353.69215365000002</v>
      </c>
      <c r="L3" s="5">
        <f t="shared" si="1"/>
        <v>389.06136901500003</v>
      </c>
      <c r="M3" s="5">
        <f t="shared" si="1"/>
        <v>427.96750591650004</v>
      </c>
      <c r="N3" s="5">
        <f>SUM(B3:M3)</f>
        <v>3207.6425650814999</v>
      </c>
      <c r="O3" s="5"/>
    </row>
    <row r="4" spans="1:20" x14ac:dyDescent="0.3">
      <c r="A4" s="4" t="s">
        <v>14</v>
      </c>
      <c r="B4" s="4">
        <v>200</v>
      </c>
      <c r="C4" s="4">
        <f>B4+(B4*10%)</f>
        <v>220</v>
      </c>
      <c r="D4" s="5">
        <f t="shared" ref="D4:M4" si="2">C4+(C4*10%)</f>
        <v>242</v>
      </c>
      <c r="E4" s="5">
        <f t="shared" si="2"/>
        <v>266.2</v>
      </c>
      <c r="F4" s="5">
        <f t="shared" si="2"/>
        <v>292.82</v>
      </c>
      <c r="G4" s="5">
        <f t="shared" si="2"/>
        <v>322.10199999999998</v>
      </c>
      <c r="H4" s="5">
        <f t="shared" si="2"/>
        <v>354.31219999999996</v>
      </c>
      <c r="I4" s="5">
        <f t="shared" si="2"/>
        <v>389.74341999999996</v>
      </c>
      <c r="J4" s="5">
        <f t="shared" si="2"/>
        <v>428.71776199999994</v>
      </c>
      <c r="K4" s="5">
        <f t="shared" si="2"/>
        <v>471.58953819999994</v>
      </c>
      <c r="L4" s="5">
        <f t="shared" si="2"/>
        <v>518.74849201999996</v>
      </c>
      <c r="M4" s="5">
        <f t="shared" si="2"/>
        <v>570.62334122199991</v>
      </c>
      <c r="N4" s="5">
        <f>SUM(B4:M4)</f>
        <v>4276.856753441999</v>
      </c>
      <c r="Q4" t="s">
        <v>22</v>
      </c>
    </row>
    <row r="5" spans="1:20" x14ac:dyDescent="0.3">
      <c r="A5" s="4" t="s">
        <v>15</v>
      </c>
      <c r="B5" s="4">
        <v>180</v>
      </c>
      <c r="C5" s="4">
        <f>B5+(B5*10%)</f>
        <v>198</v>
      </c>
      <c r="D5" s="5">
        <f t="shared" ref="D5:M5" si="3">C5+(C5*10%)</f>
        <v>217.8</v>
      </c>
      <c r="E5" s="5">
        <f t="shared" si="3"/>
        <v>239.58</v>
      </c>
      <c r="F5" s="5">
        <f t="shared" si="3"/>
        <v>263.53800000000001</v>
      </c>
      <c r="G5" s="5">
        <f t="shared" si="3"/>
        <v>289.89179999999999</v>
      </c>
      <c r="H5" s="5">
        <f t="shared" si="3"/>
        <v>318.88097999999997</v>
      </c>
      <c r="I5" s="5">
        <f t="shared" si="3"/>
        <v>350.76907799999998</v>
      </c>
      <c r="J5" s="5">
        <f t="shared" si="3"/>
        <v>385.84598579999999</v>
      </c>
      <c r="K5" s="5">
        <f t="shared" si="3"/>
        <v>424.43058438000003</v>
      </c>
      <c r="L5" s="5">
        <f t="shared" si="3"/>
        <v>466.87364281800001</v>
      </c>
      <c r="M5" s="5">
        <f t="shared" si="3"/>
        <v>513.56100709980001</v>
      </c>
      <c r="N5" s="5">
        <f>SUM(B5:M5)</f>
        <v>3849.1710780978001</v>
      </c>
      <c r="Q5" t="s">
        <v>18</v>
      </c>
    </row>
    <row r="6" spans="1:20" x14ac:dyDescent="0.3">
      <c r="Q6" t="s">
        <v>19</v>
      </c>
    </row>
    <row r="7" spans="1:20" x14ac:dyDescent="0.3">
      <c r="H7" s="8"/>
      <c r="I7" t="s">
        <v>17</v>
      </c>
      <c r="Q7" t="s">
        <v>20</v>
      </c>
    </row>
    <row r="8" spans="1:20" x14ac:dyDescent="0.3">
      <c r="Q8" t="s">
        <v>26</v>
      </c>
      <c r="T8" s="6" t="s">
        <v>26</v>
      </c>
    </row>
    <row r="9" spans="1:20" x14ac:dyDescent="0.3">
      <c r="T9" s="7"/>
    </row>
    <row r="10" spans="1:20" x14ac:dyDescent="0.3">
      <c r="T10" s="7"/>
    </row>
    <row r="12" spans="1:20" x14ac:dyDescent="0.3">
      <c r="Q12" s="7" t="s">
        <v>23</v>
      </c>
      <c r="T12" s="6"/>
    </row>
    <row r="13" spans="1:20" x14ac:dyDescent="0.3">
      <c r="Q13" s="7"/>
      <c r="T13" s="7"/>
    </row>
    <row r="14" spans="1:20" x14ac:dyDescent="0.3">
      <c r="Q14" s="7" t="s">
        <v>27</v>
      </c>
      <c r="T14" s="7"/>
    </row>
    <row r="15" spans="1:20" x14ac:dyDescent="0.3">
      <c r="K15" t="s">
        <v>21</v>
      </c>
      <c r="Q15" s="7"/>
    </row>
    <row r="16" spans="1:20" x14ac:dyDescent="0.3">
      <c r="Q16" s="7" t="s">
        <v>24</v>
      </c>
      <c r="T16" s="6"/>
    </row>
    <row r="17" spans="17:20" x14ac:dyDescent="0.3">
      <c r="T17" s="7"/>
    </row>
    <row r="18" spans="17:20" x14ac:dyDescent="0.3">
      <c r="Q18" s="8" t="s">
        <v>29</v>
      </c>
      <c r="T18" s="7"/>
    </row>
    <row r="20" spans="17:20" x14ac:dyDescent="0.3">
      <c r="Q20" s="7" t="s">
        <v>25</v>
      </c>
      <c r="T20" s="6"/>
    </row>
    <row r="21" spans="17:20" x14ac:dyDescent="0.3">
      <c r="Q21" s="7"/>
    </row>
    <row r="22" spans="17:20" x14ac:dyDescent="0.3">
      <c r="Q22" s="7" t="s">
        <v>28</v>
      </c>
    </row>
    <row r="24" spans="17:20" x14ac:dyDescent="0.3">
      <c r="Q24" s="7" t="s">
        <v>30</v>
      </c>
    </row>
    <row r="25" spans="17:20" x14ac:dyDescent="0.3">
      <c r="Q25" s="7"/>
    </row>
    <row r="26" spans="17:20" x14ac:dyDescent="0.3">
      <c r="Q26" s="7"/>
    </row>
    <row r="27" spans="17:20" x14ac:dyDescent="0.3">
      <c r="Q27" s="7"/>
    </row>
    <row r="28" spans="17:20" x14ac:dyDescent="0.3">
      <c r="Q28" s="7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 Porto Pereira</dc:creator>
  <cp:keywords/>
  <dc:description/>
  <cp:lastModifiedBy>Miguel De Souza Damasceno</cp:lastModifiedBy>
  <cp:revision/>
  <dcterms:created xsi:type="dcterms:W3CDTF">2026-06-02T17:41:39Z</dcterms:created>
  <dcterms:modified xsi:type="dcterms:W3CDTF">2026-08-23T18:35:42Z</dcterms:modified>
  <cp:category/>
  <cp:contentStatus/>
</cp:coreProperties>
</file>